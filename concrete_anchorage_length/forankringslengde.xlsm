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thon\structural_tools\structural_tools\concrete_anchorage_length\"/>
    </mc:Choice>
  </mc:AlternateContent>
  <xr:revisionPtr revIDLastSave="0" documentId="13_ncr:1_{E38738F5-44F4-44DE-B013-638DD0884376}" xr6:coauthVersionLast="47" xr6:coauthVersionMax="47" xr10:uidLastSave="{00000000-0000-0000-0000-000000000000}"/>
  <bookViews>
    <workbookView xWindow="-28920" yWindow="-120" windowWidth="29040" windowHeight="15840" activeTab="1" xr2:uid="{ACBA2396-4584-4C2F-BA5E-A8084558A54E}"/>
  </bookViews>
  <sheets>
    <sheet name="Rett stang i strekk" sheetId="1" r:id="rId1"/>
    <sheet name="Forankringslengde" sheetId="2" r:id="rId2"/>
    <sheet name="Materialdata" sheetId="3" r:id="rId3"/>
    <sheet name="Rullgardinlister" sheetId="4" r:id="rId4"/>
  </sheets>
  <definedNames>
    <definedName name="armering_materialdata">Materialdata!$A$18:$E$21</definedName>
    <definedName name="betong_materialdata">Materialdata!$A$1:$O$15</definedName>
    <definedName name="konstruksjonstype">Rullgardinlister!$A$19:$A$20</definedName>
    <definedName name="_xlnm.Print_Area" localSheetId="1">Forankringslengde!$A$1:$L$88</definedName>
    <definedName name="rett_ikkerett">Rullgardinlister!$A$7:$A$8</definedName>
    <definedName name="strekk_trykk">Rullgardinlister!$A$2:$A$3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2" l="1"/>
  <c r="G18" i="3" a="1"/>
  <c r="G18" i="3" s="1"/>
  <c r="B73" i="2"/>
  <c r="B74" i="2" s="1"/>
  <c r="B43" i="2"/>
  <c r="B13" i="4" s="1"/>
  <c r="B7" i="2"/>
  <c r="B25" i="2"/>
  <c r="B26" i="2" s="1"/>
  <c r="B19" i="2"/>
  <c r="B20" i="2" s="1"/>
  <c r="B63" i="2"/>
  <c r="B62" i="2"/>
  <c r="B14" i="4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B29" i="2" l="1"/>
  <c r="B64" i="2"/>
  <c r="B65" i="2" s="1"/>
  <c r="B66" i="2" s="1"/>
  <c r="B12" i="4"/>
  <c r="B45" i="2" s="1"/>
  <c r="B18" i="2"/>
  <c r="D22" i="1"/>
  <c r="B15" i="1"/>
  <c r="B21" i="2" l="1"/>
  <c r="B31" i="2" s="1"/>
  <c r="B53" i="2"/>
  <c r="B56" i="2"/>
  <c r="B57" i="2" s="1"/>
  <c r="B77" i="2" s="1"/>
  <c r="I1" i="1"/>
  <c r="B11" i="1"/>
  <c r="B10" i="1"/>
  <c r="B23" i="1"/>
  <c r="B19" i="1"/>
  <c r="B18" i="1"/>
  <c r="F6" i="1"/>
  <c r="B82" i="2" l="1"/>
  <c r="B85" i="2" s="1"/>
  <c r="B87" i="2" s="1"/>
  <c r="B83" i="2"/>
  <c r="B22" i="1"/>
  <c r="B27" i="1" l="1"/>
  <c r="B28" i="1" s="1"/>
  <c r="B3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<sst xmlns="http://schemas.openxmlformats.org/spreadsheetml/2006/main" count="223" uniqueCount="156">
  <si>
    <t>fbd</t>
  </si>
  <si>
    <t>η1</t>
  </si>
  <si>
    <t>η2</t>
  </si>
  <si>
    <t>fctk,0.05</t>
  </si>
  <si>
    <t>fctd</t>
  </si>
  <si>
    <t>MPa</t>
  </si>
  <si>
    <t>γc</t>
  </si>
  <si>
    <t>lb,rqd</t>
  </si>
  <si>
    <t>φ</t>
  </si>
  <si>
    <t>mm</t>
  </si>
  <si>
    <r>
      <rPr>
        <sz val="11"/>
        <color theme="1"/>
        <rFont val="Calibri"/>
        <family val="2"/>
      </rPr>
      <t>σ</t>
    </r>
    <r>
      <rPr>
        <sz val="12.65"/>
        <color theme="1"/>
        <rFont val="Calibri"/>
        <family val="2"/>
      </rPr>
      <t>sd</t>
    </r>
  </si>
  <si>
    <t>α2</t>
  </si>
  <si>
    <r>
      <rPr>
        <sz val="11"/>
        <color theme="1"/>
        <rFont val="Calibri"/>
        <family val="2"/>
      </rPr>
      <t>α</t>
    </r>
    <r>
      <rPr>
        <sz val="7.7"/>
        <color theme="1"/>
        <rFont val="Calibri"/>
        <family val="2"/>
      </rPr>
      <t>3</t>
    </r>
    <r>
      <rPr>
        <sz val="11"/>
        <color theme="1"/>
        <rFont val="Calibri"/>
        <family val="2"/>
        <scheme val="minor"/>
      </rPr>
      <t/>
    </r>
  </si>
  <si>
    <t>α4</t>
  </si>
  <si>
    <r>
      <rPr>
        <sz val="11"/>
        <color theme="1"/>
        <rFont val="Calibri"/>
        <family val="2"/>
      </rPr>
      <t>α</t>
    </r>
    <r>
      <rPr>
        <sz val="7.7"/>
        <color theme="1"/>
        <rFont val="Calibri"/>
        <family val="2"/>
      </rPr>
      <t>5</t>
    </r>
    <r>
      <rPr>
        <sz val="11"/>
        <color theme="1"/>
        <rFont val="Calibri"/>
        <family val="2"/>
        <scheme val="minor"/>
      </rPr>
      <t/>
    </r>
  </si>
  <si>
    <t>a</t>
  </si>
  <si>
    <t>c</t>
  </si>
  <si>
    <t>c1</t>
  </si>
  <si>
    <t>Forankringslengde - Rett stang i strekk</t>
  </si>
  <si>
    <t>cd</t>
  </si>
  <si>
    <t>mellomrom mellom stenger i laget</t>
  </si>
  <si>
    <t xml:space="preserve">overdekning stang </t>
  </si>
  <si>
    <t>overdekning stang sidekant</t>
  </si>
  <si>
    <r>
      <t>α</t>
    </r>
    <r>
      <rPr>
        <sz val="7.7"/>
        <color theme="1"/>
        <rFont val="Calibri"/>
        <family val="2"/>
      </rPr>
      <t>1</t>
    </r>
  </si>
  <si>
    <t>α-faktorer</t>
  </si>
  <si>
    <t>K</t>
  </si>
  <si>
    <t>ΣAst,min</t>
  </si>
  <si>
    <t>ΣAst</t>
  </si>
  <si>
    <t>φt</t>
  </si>
  <si>
    <t>cct</t>
  </si>
  <si>
    <t>mm2</t>
  </si>
  <si>
    <t>0.7 for sveist tverrarmering</t>
  </si>
  <si>
    <t>lbd</t>
  </si>
  <si>
    <t>Tilsvarer stk φ:</t>
  </si>
  <si>
    <t>0 for plater, 0,25 As for bjelker</t>
  </si>
  <si>
    <t>λ</t>
  </si>
  <si>
    <t>As</t>
  </si>
  <si>
    <t>areal av største forankrede stang</t>
  </si>
  <si>
    <t>for trykk i tverretning</t>
  </si>
  <si>
    <t>F</t>
  </si>
  <si>
    <t>kN</t>
  </si>
  <si>
    <t>kraft per stang</t>
  </si>
  <si>
    <t>ø_l</t>
  </si>
  <si>
    <t>diameter på jernet som skal forankres</t>
  </si>
  <si>
    <t>ø_tverretning</t>
  </si>
  <si>
    <t>diameter på jern i tverretning</t>
  </si>
  <si>
    <t>Betongkvalitet</t>
  </si>
  <si>
    <t>B35</t>
  </si>
  <si>
    <t>Armeringskvalitet</t>
  </si>
  <si>
    <t>B500NC</t>
  </si>
  <si>
    <t>8.4.2 Dimensjonerende heftfasthet</t>
  </si>
  <si>
    <r>
      <rPr>
        <sz val="11"/>
        <color theme="1"/>
        <rFont val="Aptos Narrow"/>
        <family val="2"/>
      </rPr>
      <t>η</t>
    </r>
    <r>
      <rPr>
        <sz val="11"/>
        <color theme="1"/>
        <rFont val="Calibri"/>
        <family val="2"/>
      </rPr>
      <t>1</t>
    </r>
  </si>
  <si>
    <t>1.0 for gode heftforhold, 
0.7 for dårlige heftforhold</t>
  </si>
  <si>
    <t>B12</t>
  </si>
  <si>
    <t>B16</t>
  </si>
  <si>
    <t>B20</t>
  </si>
  <si>
    <t>B25</t>
  </si>
  <si>
    <t>B30</t>
  </si>
  <si>
    <t>B40</t>
  </si>
  <si>
    <t>B45</t>
  </si>
  <si>
    <t>B50</t>
  </si>
  <si>
    <t>B55</t>
  </si>
  <si>
    <t>B60</t>
  </si>
  <si>
    <t>B70</t>
  </si>
  <si>
    <t>B80</t>
  </si>
  <si>
    <t>B90</t>
  </si>
  <si>
    <t>fcck</t>
  </si>
  <si>
    <t>fck</t>
  </si>
  <si>
    <t>fcm</t>
  </si>
  <si>
    <t>fctm</t>
  </si>
  <si>
    <t>fctk0.05</t>
  </si>
  <si>
    <t>fctk0.95</t>
  </si>
  <si>
    <t>Ecm</t>
  </si>
  <si>
    <t>ec1</t>
  </si>
  <si>
    <t>ecu1</t>
  </si>
  <si>
    <t>ec2</t>
  </si>
  <si>
    <t>ecu2</t>
  </si>
  <si>
    <t>n</t>
  </si>
  <si>
    <t>ec3</t>
  </si>
  <si>
    <t>ecu3</t>
  </si>
  <si>
    <t>Mpa</t>
  </si>
  <si>
    <t>γs</t>
  </si>
  <si>
    <t>8.4.3 Basis kraftinnføringslengde</t>
  </si>
  <si>
    <t>fyk</t>
  </si>
  <si>
    <t>fuk</t>
  </si>
  <si>
    <t>Es</t>
  </si>
  <si>
    <t>Parameter</t>
  </si>
  <si>
    <t>σsd</t>
  </si>
  <si>
    <t>σsEd</t>
  </si>
  <si>
    <t>ignoreres hvis blank</t>
  </si>
  <si>
    <t>fyd</t>
  </si>
  <si>
    <t>8.4.4 Dimensjonerende forankringslengde</t>
  </si>
  <si>
    <t>strekk/trykk</t>
  </si>
  <si>
    <t>strekk</t>
  </si>
  <si>
    <t>trykk</t>
  </si>
  <si>
    <t>rett/ikke rett</t>
  </si>
  <si>
    <t>rett</t>
  </si>
  <si>
    <t>ikke rett</t>
  </si>
  <si>
    <t>Forankring i strekk eller trykk</t>
  </si>
  <si>
    <t>Form armeringsjern, rett eller ikke rett</t>
  </si>
  <si>
    <t>Stangtype</t>
  </si>
  <si>
    <t>Strekk eller ikke strekk</t>
  </si>
  <si>
    <t>Rett eller ikke rett</t>
  </si>
  <si>
    <t>rette stenger</t>
  </si>
  <si>
    <t>vinkelkroker eller kroker</t>
  </si>
  <si>
    <t>sløyfer</t>
  </si>
  <si>
    <t>Overdekning</t>
  </si>
  <si>
    <t>Overdekning sidekant</t>
  </si>
  <si>
    <t>Senteravstand for jern i lengderetning</t>
  </si>
  <si>
    <t>avstand mellom innerkant jern</t>
  </si>
  <si>
    <t>Heftbetingelser - Bilde</t>
  </si>
  <si>
    <t>Klikk på utsiden av "Hover fields" for å gjøre bilder små igjen</t>
  </si>
  <si>
    <t>c/c ø_l</t>
  </si>
  <si>
    <t>Cd</t>
  </si>
  <si>
    <t>Faktor for tverrarmering</t>
  </si>
  <si>
    <t>stangens form</t>
  </si>
  <si>
    <t>α3</t>
  </si>
  <si>
    <t>α5</t>
  </si>
  <si>
    <t>0.7 &lt;= 1-0.15*(cd-3ø)/ø &lt;= 1.0</t>
  </si>
  <si>
    <t>Stengenes form</t>
  </si>
  <si>
    <t>Betongoverdekning</t>
  </si>
  <si>
    <t>mellomregning</t>
  </si>
  <si>
    <t>Tverrarmering som ikke er sveist til hovedarmering</t>
  </si>
  <si>
    <r>
      <t>λ=(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Ast-ΣAst,min)/As</t>
    </r>
  </si>
  <si>
    <t>n_langs</t>
  </si>
  <si>
    <t>plate/bjelke</t>
  </si>
  <si>
    <t>Konstruksjonstype</t>
  </si>
  <si>
    <t>plate</t>
  </si>
  <si>
    <t>bjelke</t>
  </si>
  <si>
    <t>tverrsnittsareal av minste tverrarmering</t>
  </si>
  <si>
    <t>0.7 &lt;= 1-Kλ &lt;= 1.0</t>
  </si>
  <si>
    <t>Sveist tverrarmering, fylles inn manuelt</t>
  </si>
  <si>
    <r>
      <rPr>
        <b/>
        <sz val="11"/>
        <color theme="1"/>
        <rFont val="Aptos Narrow"/>
        <family val="2"/>
      </rPr>
      <t>α</t>
    </r>
    <r>
      <rPr>
        <b/>
        <sz val="11"/>
        <color theme="1"/>
        <rFont val="Calibri"/>
        <family val="2"/>
      </rPr>
      <t>1</t>
    </r>
  </si>
  <si>
    <t>Trykk i tverretning</t>
  </si>
  <si>
    <t>p</t>
  </si>
  <si>
    <t>trykk i tverretning av spalteplanet for lengdearmeringen langs lbd</t>
  </si>
  <si>
    <t>0.7 &lt;= 1-0.04p &lt;= 1.0</t>
  </si>
  <si>
    <t>Begrensning på tre α-faktorer</t>
  </si>
  <si>
    <t>α2*α3*α5 &gt;= 0.7</t>
  </si>
  <si>
    <t>Minste forankringslengde</t>
  </si>
  <si>
    <t>lb,min</t>
  </si>
  <si>
    <t>lb,min,strekk</t>
  </si>
  <si>
    <t>lb,min,trykk</t>
  </si>
  <si>
    <r>
      <t xml:space="preserve">antall jern på tvers langs den dimensjonerende 
forankringslengde lbd, </t>
    </r>
    <r>
      <rPr>
        <sz val="11"/>
        <color rgb="FFFF0000"/>
        <rFont val="Calibri"/>
        <family val="2"/>
        <scheme val="minor"/>
      </rPr>
      <t>itereres manuelt!</t>
    </r>
  </si>
  <si>
    <t>settes til 1,0 hvis ingen sveis</t>
  </si>
  <si>
    <t>SEd</t>
  </si>
  <si>
    <t>K8.8</t>
  </si>
  <si>
    <t>n_l</t>
  </si>
  <si>
    <t>stk</t>
  </si>
  <si>
    <t>As_l</t>
  </si>
  <si>
    <t>Ks50</t>
  </si>
  <si>
    <t>Forankrignslengde</t>
  </si>
  <si>
    <t>K10.9</t>
  </si>
  <si>
    <t>Hulltaking Bjelke sørbygget Akse 4 - Forankringslengde utenfor ny søyle</t>
  </si>
  <si>
    <t>oppleggskraft, legger all kraft som strekk-kraft i lengdearmering - som om det ikke er skjærarmeirng der</t>
  </si>
  <si>
    <t>antar at 1/4 jern kappes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</si>
</sst>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.65"/>
      <color theme="1"/>
      <name val="Calibri"/>
      <family val="2"/>
    </font>
    <font>
      <sz val="7.7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ptos Narrow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Aptos Narrow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39">
    <xf numFmtId="0" fontId="0" fillId="0" borderId="0" xfId="0"/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0" fontId="0" fillId="3" borderId="0" xfId="0" applyFill="1"/>
    <xf numFmtId="2" fontId="0" fillId="2" borderId="0" xfId="0" applyNumberFormat="1" applyFill="1"/>
    <xf numFmtId="2" fontId="0" fillId="3" borderId="0" xfId="0" applyNumberFormat="1" applyFill="1"/>
    <xf numFmtId="0" fontId="6" fillId="0" borderId="0" xfId="0" applyFont="1"/>
    <xf numFmtId="0" fontId="7" fillId="0" borderId="0" xfId="0" applyFont="1"/>
    <xf numFmtId="0" fontId="0" fillId="0" borderId="0" xfId="0" applyAlignment="1">
      <alignment wrapText="1"/>
    </xf>
    <xf numFmtId="0" fontId="5" fillId="0" borderId="0" xfId="1"/>
    <xf numFmtId="0" fontId="9" fillId="0" borderId="0" xfId="1" applyFont="1" applyAlignment="1">
      <alignment horizontal="center"/>
    </xf>
    <xf numFmtId="0" fontId="5" fillId="0" borderId="0" xfId="1" applyAlignment="1">
      <alignment horizontal="center"/>
    </xf>
    <xf numFmtId="2" fontId="5" fillId="0" borderId="0" xfId="1" applyNumberFormat="1" applyAlignment="1">
      <alignment horizontal="center"/>
    </xf>
    <xf numFmtId="164" fontId="5" fillId="0" borderId="0" xfId="1" applyNumberFormat="1" applyAlignment="1">
      <alignment horizontal="center"/>
    </xf>
    <xf numFmtId="0" fontId="8" fillId="0" borderId="0" xfId="0" applyFont="1"/>
    <xf numFmtId="164" fontId="0" fillId="3" borderId="0" xfId="0" applyNumberFormat="1" applyFill="1"/>
    <xf numFmtId="0" fontId="0" fillId="2" borderId="0" xfId="0" applyFill="1" applyAlignment="1">
      <alignment horizontal="right"/>
    </xf>
    <xf numFmtId="1" fontId="6" fillId="3" borderId="0" xfId="0" applyNumberFormat="1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6" fillId="3" borderId="0" xfId="0" applyFont="1" applyFill="1"/>
    <xf numFmtId="2" fontId="6" fillId="3" borderId="0" xfId="0" applyNumberFormat="1" applyFont="1" applyFill="1"/>
    <xf numFmtId="0" fontId="11" fillId="0" borderId="0" xfId="0" applyFont="1"/>
    <xf numFmtId="0" fontId="12" fillId="0" borderId="0" xfId="0" applyFont="1"/>
    <xf numFmtId="165" fontId="6" fillId="3" borderId="0" xfId="0" applyNumberFormat="1" applyFont="1" applyFill="1"/>
    <xf numFmtId="0" fontId="1" fillId="0" borderId="0" xfId="0" applyFont="1" applyAlignment="1">
      <alignment vertical="center"/>
    </xf>
    <xf numFmtId="164" fontId="0" fillId="2" borderId="0" xfId="0" applyNumberFormat="1" applyFill="1" applyAlignment="1">
      <alignment vertical="center"/>
    </xf>
    <xf numFmtId="1" fontId="7" fillId="3" borderId="0" xfId="0" applyNumberFormat="1" applyFont="1" applyFill="1"/>
    <xf numFmtId="1" fontId="0" fillId="3" borderId="0" xfId="0" applyNumberFormat="1" applyFill="1"/>
    <xf numFmtId="0" fontId="6" fillId="4" borderId="0" xfId="0" applyFont="1" applyFill="1"/>
    <xf numFmtId="0" fontId="13" fillId="0" borderId="0" xfId="0" applyFont="1"/>
    <xf numFmtId="164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14" fillId="0" borderId="0" xfId="0" applyFont="1"/>
    <xf numFmtId="165" fontId="0" fillId="3" borderId="0" xfId="0" applyNumberFormat="1" applyFill="1"/>
  </cellXfs>
  <cellStyles count="2">
    <cellStyle name="Normal" xfId="0" builtinId="0"/>
    <cellStyle name="Normal 2" xfId="1" xr:uid="{D814808D-7F75-4CB8-87C6-3C158A217850}"/>
  </cellStyles>
  <dxfs count="1"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416673</xdr:colOff>
      <xdr:row>0</xdr:row>
      <xdr:rowOff>0</xdr:rowOff>
    </xdr:from>
    <xdr:to>
      <xdr:col>19</xdr:col>
      <xdr:colOff>578007</xdr:colOff>
      <xdr:row>15</xdr:row>
      <xdr:rowOff>8083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922418-83A5-DBCD-3424-FEFB62364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52209" y="0"/>
          <a:ext cx="5059905" cy="2892797"/>
        </a:xfrm>
        <a:prstGeom prst="rect">
          <a:avLst/>
        </a:prstGeom>
      </xdr:spPr>
    </xdr:pic>
    <xdr:clientData/>
  </xdr:twoCellAnchor>
  <xdr:twoCellAnchor editAs="oneCell">
    <xdr:from>
      <xdr:col>11</xdr:col>
      <xdr:colOff>276054</xdr:colOff>
      <xdr:row>15</xdr:row>
      <xdr:rowOff>144271</xdr:rowOff>
    </xdr:from>
    <xdr:to>
      <xdr:col>22</xdr:col>
      <xdr:colOff>428003</xdr:colOff>
      <xdr:row>42</xdr:row>
      <xdr:rowOff>144989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9D677B0-2468-A235-63FB-9500A7F79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121872" y="2182473"/>
          <a:ext cx="5144218" cy="6841429"/>
        </a:xfrm>
        <a:prstGeom prst="rect">
          <a:avLst/>
        </a:prstGeom>
      </xdr:spPr>
    </xdr:pic>
    <xdr:clientData/>
  </xdr:twoCellAnchor>
  <xdr:twoCellAnchor editAs="oneCell">
    <xdr:from>
      <xdr:col>20</xdr:col>
      <xdr:colOff>530678</xdr:colOff>
      <xdr:row>0</xdr:row>
      <xdr:rowOff>0</xdr:rowOff>
    </xdr:from>
    <xdr:to>
      <xdr:col>35</xdr:col>
      <xdr:colOff>567997</xdr:colOff>
      <xdr:row>13</xdr:row>
      <xdr:rowOff>146972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A7FC4A-C672-D838-96C9-E85A8CB60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77107" y="0"/>
          <a:ext cx="9222140" cy="2650686"/>
        </a:xfrm>
        <a:prstGeom prst="rect">
          <a:avLst/>
        </a:prstGeom>
      </xdr:spPr>
    </xdr:pic>
    <xdr:clientData/>
  </xdr:twoCellAnchor>
  <xdr:twoCellAnchor editAs="oneCell">
    <xdr:from>
      <xdr:col>23</xdr:col>
      <xdr:colOff>326573</xdr:colOff>
      <xdr:row>15</xdr:row>
      <xdr:rowOff>108857</xdr:rowOff>
    </xdr:from>
    <xdr:to>
      <xdr:col>35</xdr:col>
      <xdr:colOff>530680</xdr:colOff>
      <xdr:row>32</xdr:row>
      <xdr:rowOff>121976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D985C7-A7A6-0C20-8D09-86D5AD751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9966" y="2993571"/>
          <a:ext cx="7551964" cy="3251619"/>
        </a:xfrm>
        <a:prstGeom prst="rect">
          <a:avLst/>
        </a:prstGeom>
      </xdr:spPr>
    </xdr:pic>
    <xdr:clientData/>
  </xdr:twoCellAnchor>
  <xdr:twoCellAnchor editAs="oneCell">
    <xdr:from>
      <xdr:col>23</xdr:col>
      <xdr:colOff>557893</xdr:colOff>
      <xdr:row>36</xdr:row>
      <xdr:rowOff>149678</xdr:rowOff>
    </xdr:from>
    <xdr:to>
      <xdr:col>36</xdr:col>
      <xdr:colOff>438591</xdr:colOff>
      <xdr:row>52</xdr:row>
      <xdr:rowOff>188209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BB7977F-D3B6-A460-B2D7-6F94FD6A7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41286" y="6463392"/>
          <a:ext cx="7840877" cy="3086531"/>
        </a:xfrm>
        <a:prstGeom prst="rect">
          <a:avLst/>
        </a:prstGeom>
      </xdr:spPr>
    </xdr:pic>
    <xdr:clientData/>
  </xdr:twoCellAnchor>
  <xdr:twoCellAnchor editAs="oneCell">
    <xdr:from>
      <xdr:col>5</xdr:col>
      <xdr:colOff>493517</xdr:colOff>
      <xdr:row>12</xdr:row>
      <xdr:rowOff>8211</xdr:rowOff>
    </xdr:from>
    <xdr:to>
      <xdr:col>10</xdr:col>
      <xdr:colOff>326599</xdr:colOff>
      <xdr:row>16</xdr:row>
      <xdr:rowOff>65475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6DE3B46-BF77-26F7-344D-7F5FF041A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50258" y="2320487"/>
          <a:ext cx="2887651" cy="819264"/>
        </a:xfrm>
        <a:prstGeom prst="rect">
          <a:avLst/>
        </a:prstGeom>
      </xdr:spPr>
    </xdr:pic>
    <xdr:clientData/>
  </xdr:twoCellAnchor>
  <xdr:twoCellAnchor editAs="oneCell">
    <xdr:from>
      <xdr:col>6</xdr:col>
      <xdr:colOff>139967</xdr:colOff>
      <xdr:row>16</xdr:row>
      <xdr:rowOff>179332</xdr:rowOff>
    </xdr:from>
    <xdr:to>
      <xdr:col>11</xdr:col>
      <xdr:colOff>231574</xdr:colOff>
      <xdr:row>21</xdr:row>
      <xdr:rowOff>112781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3F9A04E-C7F7-6CAB-A39D-8A35C5E98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07622" y="3253608"/>
          <a:ext cx="3146176" cy="885949"/>
        </a:xfrm>
        <a:prstGeom prst="rect">
          <a:avLst/>
        </a:prstGeom>
      </xdr:spPr>
    </xdr:pic>
    <xdr:clientData/>
  </xdr:twoCellAnchor>
  <xdr:twoCellAnchor editAs="oneCell">
    <xdr:from>
      <xdr:col>5</xdr:col>
      <xdr:colOff>107075</xdr:colOff>
      <xdr:row>29</xdr:row>
      <xdr:rowOff>158736</xdr:rowOff>
    </xdr:from>
    <xdr:to>
      <xdr:col>10</xdr:col>
      <xdr:colOff>208208</xdr:colOff>
      <xdr:row>35</xdr:row>
      <xdr:rowOff>101738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E99764-A750-58F0-7429-FAEBD18BC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463816" y="5138012"/>
          <a:ext cx="3155702" cy="1086002"/>
        </a:xfrm>
        <a:prstGeom prst="rect">
          <a:avLst/>
        </a:prstGeom>
      </xdr:spPr>
    </xdr:pic>
    <xdr:clientData/>
  </xdr:twoCellAnchor>
  <xdr:twoCellAnchor editAs="oneCell">
    <xdr:from>
      <xdr:col>6</xdr:col>
      <xdr:colOff>191863</xdr:colOff>
      <xdr:row>21</xdr:row>
      <xdr:rowOff>56259</xdr:rowOff>
    </xdr:from>
    <xdr:to>
      <xdr:col>10</xdr:col>
      <xdr:colOff>498603</xdr:colOff>
      <xdr:row>26</xdr:row>
      <xdr:rowOff>109641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8A586C8-18BE-F452-FDDA-FCAD37767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59518" y="4083035"/>
          <a:ext cx="2750395" cy="1005882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476250</xdr:colOff>
      <xdr:row>46</xdr:row>
      <xdr:rowOff>99320</xdr:rowOff>
    </xdr:from>
    <xdr:to>
      <xdr:col>22</xdr:col>
      <xdr:colOff>87013</xdr:colOff>
      <xdr:row>57</xdr:row>
      <xdr:rowOff>19425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58D2A63-6250-F31A-4235-202F4E0FC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77050" y="8319395"/>
          <a:ext cx="6925963" cy="2015605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</xdr:colOff>
      <xdr:row>39</xdr:row>
      <xdr:rowOff>152400</xdr:rowOff>
    </xdr:from>
    <xdr:to>
      <xdr:col>8</xdr:col>
      <xdr:colOff>524279</xdr:colOff>
      <xdr:row>44</xdr:row>
      <xdr:rowOff>57270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4A9955CA-3B03-8023-6FB5-7FFB03588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09875" y="7038975"/>
          <a:ext cx="2896004" cy="85737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35</xdr:row>
      <xdr:rowOff>104775</xdr:rowOff>
    </xdr:from>
    <xdr:to>
      <xdr:col>9</xdr:col>
      <xdr:colOff>219520</xdr:colOff>
      <xdr:row>39</xdr:row>
      <xdr:rowOff>76302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CECD326-BC3E-57AD-341D-FB191D492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19400" y="6229350"/>
          <a:ext cx="3191320" cy="733527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34637</xdr:colOff>
      <xdr:row>58</xdr:row>
      <xdr:rowOff>34637</xdr:rowOff>
    </xdr:from>
    <xdr:to>
      <xdr:col>22</xdr:col>
      <xdr:colOff>207042</xdr:colOff>
      <xdr:row>96</xdr:row>
      <xdr:rowOff>102332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19C16FF-5050-E8AE-5799-2BEF8D65C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013864" y="10546773"/>
          <a:ext cx="6839905" cy="73066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123825</xdr:rowOff>
        </xdr:from>
        <xdr:to>
          <xdr:col>5</xdr:col>
          <xdr:colOff>523875</xdr:colOff>
          <xdr:row>16</xdr:row>
          <xdr:rowOff>523875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24</xdr:row>
          <xdr:rowOff>0</xdr:rowOff>
        </xdr:from>
        <xdr:to>
          <xdr:col>5</xdr:col>
          <xdr:colOff>581025</xdr:colOff>
          <xdr:row>26</xdr:row>
          <xdr:rowOff>161925</xdr:rowOff>
        </xdr:to>
        <xdr:sp macro="" textlink="">
          <xdr:nvSpPr>
            <xdr:cNvPr id="2052" name="Label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34</xdr:row>
          <xdr:rowOff>9525</xdr:rowOff>
        </xdr:from>
        <xdr:to>
          <xdr:col>5</xdr:col>
          <xdr:colOff>247650</xdr:colOff>
          <xdr:row>36</xdr:row>
          <xdr:rowOff>95250</xdr:rowOff>
        </xdr:to>
        <xdr:sp macro="" textlink="">
          <xdr:nvSpPr>
            <xdr:cNvPr id="2053" name="Label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45</xdr:row>
          <xdr:rowOff>47625</xdr:rowOff>
        </xdr:from>
        <xdr:to>
          <xdr:col>5</xdr:col>
          <xdr:colOff>447675</xdr:colOff>
          <xdr:row>47</xdr:row>
          <xdr:rowOff>66675</xdr:rowOff>
        </xdr:to>
        <xdr:sp macro="" textlink="">
          <xdr:nvSpPr>
            <xdr:cNvPr id="2054" name="Label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57</xdr:row>
          <xdr:rowOff>0</xdr:rowOff>
        </xdr:from>
        <xdr:to>
          <xdr:col>5</xdr:col>
          <xdr:colOff>438150</xdr:colOff>
          <xdr:row>59</xdr:row>
          <xdr:rowOff>85725</xdr:rowOff>
        </xdr:to>
        <xdr:sp macro="" textlink="">
          <xdr:nvSpPr>
            <xdr:cNvPr id="2059" name="Label5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71</xdr:colOff>
      <xdr:row>16</xdr:row>
      <xdr:rowOff>57161</xdr:rowOff>
    </xdr:from>
    <xdr:to>
      <xdr:col>8</xdr:col>
      <xdr:colOff>384903</xdr:colOff>
      <xdr:row>20</xdr:row>
      <xdr:rowOff>184161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E50375-1C07-46E5-D005-2404A4427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48696" y="3295661"/>
          <a:ext cx="1604032" cy="1270000"/>
        </a:xfrm>
        <a:prstGeom prst="rect">
          <a:avLst/>
        </a:prstGeom>
      </xdr:spPr>
    </xdr:pic>
    <xdr:clientData/>
  </xdr:twoCellAnchor>
  <xdr:twoCellAnchor editAs="oneCell">
    <xdr:from>
      <xdr:col>6</xdr:col>
      <xdr:colOff>85709</xdr:colOff>
      <xdr:row>46</xdr:row>
      <xdr:rowOff>104773</xdr:rowOff>
    </xdr:from>
    <xdr:to>
      <xdr:col>11</xdr:col>
      <xdr:colOff>528709</xdr:colOff>
      <xdr:row>53</xdr:row>
      <xdr:rowOff>31748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793C50A-270C-88DF-688C-A78B0C3DB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34334" y="9439273"/>
          <a:ext cx="3491000" cy="1270000"/>
        </a:xfrm>
        <a:prstGeom prst="rect">
          <a:avLst/>
        </a:prstGeom>
      </xdr:spPr>
    </xdr:pic>
    <xdr:clientData/>
  </xdr:twoCellAnchor>
  <xdr:twoCellAnchor editAs="oneCell">
    <xdr:from>
      <xdr:col>6</xdr:col>
      <xdr:colOff>24</xdr:colOff>
      <xdr:row>57</xdr:row>
      <xdr:rowOff>152400</xdr:rowOff>
    </xdr:from>
    <xdr:to>
      <xdr:col>7</xdr:col>
      <xdr:colOff>577891</xdr:colOff>
      <xdr:row>61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957C45F-FE93-54B9-903F-41B0C7F01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48649" y="11591925"/>
          <a:ext cx="1187467" cy="1270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34</xdr:row>
      <xdr:rowOff>28575</xdr:rowOff>
    </xdr:from>
    <xdr:to>
      <xdr:col>11</xdr:col>
      <xdr:colOff>180613</xdr:colOff>
      <xdr:row>40</xdr:row>
      <xdr:rowOff>155575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D882FE-F2F0-9A92-0A97-FAA6211D1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77200" y="7077075"/>
          <a:ext cx="3200038" cy="1270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24</xdr:row>
      <xdr:rowOff>19050</xdr:rowOff>
    </xdr:from>
    <xdr:to>
      <xdr:col>9</xdr:col>
      <xdr:colOff>473183</xdr:colOff>
      <xdr:row>30</xdr:row>
      <xdr:rowOff>146050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EAC2BF6-AF07-589F-57CE-51D79B318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8150" y="5162550"/>
          <a:ext cx="2292458" cy="1270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43164-9446-4526-96CC-2DC0844DE1B0}" name="stangtype_cd" displayName="stangtype_cd" ref="A11:B14" totalsRowShown="0">
  <autoFilter ref="A11:B14" xr:uid="{5D043164-9446-4526-96CC-2DC0844DE1B0}"/>
  <tableColumns count="2">
    <tableColumn id="1" xr3:uid="{CCA29682-4584-4D1D-ACFB-208FEC4A0B44}" name="Stangtype" dataDxfId="0"/>
    <tableColumn id="2" xr3:uid="{AB346556-64FD-41C7-B985-B678BBDB42A0}" name="c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15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E4959-CFDE-4CA5-99AC-EACF73D151DB}">
  <sheetPr codeName="Sheet2"/>
  <dimension ref="A1:K32"/>
  <sheetViews>
    <sheetView topLeftCell="A18" zoomScale="130" zoomScaleNormal="130" workbookViewId="0">
      <selection activeCell="C29" sqref="C29"/>
    </sheetView>
  </sheetViews>
  <sheetFormatPr defaultRowHeight="15" x14ac:dyDescent="0.25"/>
  <cols>
    <col min="1" max="1" width="13.7109375" customWidth="1"/>
  </cols>
  <sheetData>
    <row r="1" spans="1:11" x14ac:dyDescent="0.25">
      <c r="A1" t="s">
        <v>18</v>
      </c>
      <c r="H1" t="s">
        <v>39</v>
      </c>
      <c r="I1" s="3">
        <f>B6*B3^2*PI()/4/1000</f>
        <v>49.197340955216163</v>
      </c>
      <c r="J1" t="s">
        <v>40</v>
      </c>
      <c r="K1" t="s">
        <v>41</v>
      </c>
    </row>
    <row r="3" spans="1:11" x14ac:dyDescent="0.25">
      <c r="A3" s="1" t="s">
        <v>8</v>
      </c>
      <c r="B3">
        <v>12</v>
      </c>
      <c r="C3" t="s">
        <v>9</v>
      </c>
      <c r="E3" t="s">
        <v>15</v>
      </c>
      <c r="F3">
        <v>100</v>
      </c>
      <c r="G3" t="s">
        <v>9</v>
      </c>
      <c r="H3" t="s">
        <v>20</v>
      </c>
    </row>
    <row r="4" spans="1:11" x14ac:dyDescent="0.25">
      <c r="A4" t="s">
        <v>28</v>
      </c>
      <c r="B4">
        <v>12</v>
      </c>
      <c r="C4" t="s">
        <v>9</v>
      </c>
      <c r="E4" t="s">
        <v>16</v>
      </c>
      <c r="F4">
        <v>90</v>
      </c>
      <c r="G4" t="s">
        <v>9</v>
      </c>
      <c r="H4" t="s">
        <v>21</v>
      </c>
    </row>
    <row r="5" spans="1:11" x14ac:dyDescent="0.25">
      <c r="A5" t="s">
        <v>29</v>
      </c>
      <c r="B5">
        <v>200</v>
      </c>
      <c r="C5" t="s">
        <v>9</v>
      </c>
      <c r="E5" t="s">
        <v>17</v>
      </c>
      <c r="F5">
        <v>90</v>
      </c>
      <c r="G5" t="s">
        <v>9</v>
      </c>
      <c r="H5" t="s">
        <v>22</v>
      </c>
    </row>
    <row r="6" spans="1:11" ht="17.25" x14ac:dyDescent="0.3">
      <c r="A6" s="1" t="s">
        <v>10</v>
      </c>
      <c r="B6" s="5">
        <v>435</v>
      </c>
      <c r="C6" t="s">
        <v>5</v>
      </c>
      <c r="E6" t="s">
        <v>19</v>
      </c>
      <c r="F6" s="6">
        <f>MIN(F3/2,F5,F4)</f>
        <v>50</v>
      </c>
      <c r="G6" t="s">
        <v>9</v>
      </c>
    </row>
    <row r="7" spans="1:11" x14ac:dyDescent="0.25">
      <c r="A7" s="1" t="s">
        <v>3</v>
      </c>
      <c r="B7" s="5">
        <v>2.2000000000000002</v>
      </c>
      <c r="C7" t="s">
        <v>5</v>
      </c>
    </row>
    <row r="8" spans="1:11" x14ac:dyDescent="0.25">
      <c r="A8" s="1" t="s">
        <v>6</v>
      </c>
      <c r="B8" s="5">
        <v>1.5</v>
      </c>
      <c r="E8" s="1" t="s">
        <v>1</v>
      </c>
      <c r="F8" s="7">
        <v>1</v>
      </c>
    </row>
    <row r="9" spans="1:11" x14ac:dyDescent="0.25">
      <c r="E9" s="1" t="s">
        <v>2</v>
      </c>
      <c r="F9" s="7">
        <v>1</v>
      </c>
    </row>
    <row r="10" spans="1:11" x14ac:dyDescent="0.25">
      <c r="A10" s="1" t="s">
        <v>4</v>
      </c>
      <c r="B10" s="8">
        <f>0.85*B7/B8</f>
        <v>1.2466666666666668</v>
      </c>
      <c r="C10" t="s">
        <v>5</v>
      </c>
    </row>
    <row r="11" spans="1:11" x14ac:dyDescent="0.25">
      <c r="A11" t="s">
        <v>0</v>
      </c>
      <c r="B11" s="6">
        <f>2.25*F8*F9*B10</f>
        <v>2.8050000000000002</v>
      </c>
      <c r="C11" t="s">
        <v>5</v>
      </c>
    </row>
    <row r="15" spans="1:11" x14ac:dyDescent="0.25">
      <c r="A15" t="s">
        <v>7</v>
      </c>
      <c r="B15" s="4">
        <f>B3/4*(B6/B11)</f>
        <v>465.2406417112299</v>
      </c>
      <c r="C15" t="s">
        <v>9</v>
      </c>
    </row>
    <row r="16" spans="1:11" x14ac:dyDescent="0.25">
      <c r="A16" t="s">
        <v>24</v>
      </c>
    </row>
    <row r="17" spans="1:4" x14ac:dyDescent="0.25">
      <c r="A17" t="s">
        <v>19</v>
      </c>
      <c r="B17">
        <v>50</v>
      </c>
      <c r="C17" t="s">
        <v>9</v>
      </c>
    </row>
    <row r="18" spans="1:4" x14ac:dyDescent="0.25">
      <c r="A18" s="1" t="s">
        <v>23</v>
      </c>
      <c r="B18" s="2">
        <f>IF(B17&gt;3*B3,0.7,1)</f>
        <v>0.7</v>
      </c>
    </row>
    <row r="19" spans="1:4" x14ac:dyDescent="0.25">
      <c r="A19" s="1" t="s">
        <v>11</v>
      </c>
      <c r="B19" s="2">
        <f>MIN(MAX(1-0.15*(B17-B3)/B3,0.7),1)</f>
        <v>0.7</v>
      </c>
    </row>
    <row r="21" spans="1:4" x14ac:dyDescent="0.25">
      <c r="A21" t="s">
        <v>25</v>
      </c>
      <c r="B21">
        <v>0.05</v>
      </c>
      <c r="D21" t="s">
        <v>33</v>
      </c>
    </row>
    <row r="22" spans="1:4" x14ac:dyDescent="0.25">
      <c r="A22" s="1" t="s">
        <v>27</v>
      </c>
      <c r="B22" s="3">
        <f>PI()*B4^2/4*B15/B5</f>
        <v>263.08738478725218</v>
      </c>
      <c r="C22" t="s">
        <v>30</v>
      </c>
      <c r="D22" s="2">
        <f>B22/(PI()*B3^2/4)</f>
        <v>2.3262032085561497</v>
      </c>
    </row>
    <row r="23" spans="1:4" x14ac:dyDescent="0.25">
      <c r="A23" s="1" t="s">
        <v>36</v>
      </c>
      <c r="B23" s="3">
        <f>PI()*B3^2/4</f>
        <v>113.09733552923255</v>
      </c>
      <c r="C23" t="s">
        <v>30</v>
      </c>
      <c r="D23" s="2" t="s">
        <v>37</v>
      </c>
    </row>
    <row r="24" spans="1:4" x14ac:dyDescent="0.25">
      <c r="A24" s="1"/>
      <c r="B24" s="3"/>
      <c r="D24" s="2"/>
    </row>
    <row r="25" spans="1:4" x14ac:dyDescent="0.25">
      <c r="A25" s="1"/>
      <c r="B25" s="3"/>
      <c r="D25" s="2"/>
    </row>
    <row r="26" spans="1:4" x14ac:dyDescent="0.25">
      <c r="A26" s="1" t="s">
        <v>26</v>
      </c>
      <c r="B26">
        <v>0</v>
      </c>
      <c r="D26" t="s">
        <v>34</v>
      </c>
    </row>
    <row r="27" spans="1:4" x14ac:dyDescent="0.25">
      <c r="A27" s="1" t="s">
        <v>35</v>
      </c>
      <c r="B27" s="2">
        <f>(B22-B26)/B23</f>
        <v>2.3262032085561497</v>
      </c>
    </row>
    <row r="28" spans="1:4" x14ac:dyDescent="0.25">
      <c r="A28" s="1" t="s">
        <v>12</v>
      </c>
      <c r="B28" s="2">
        <f>MIN(MAX(1-B21*B27,0.7),1)</f>
        <v>0.88368983957219249</v>
      </c>
    </row>
    <row r="29" spans="1:4" x14ac:dyDescent="0.25">
      <c r="A29" s="1" t="s">
        <v>13</v>
      </c>
      <c r="B29">
        <v>1</v>
      </c>
      <c r="C29" t="s">
        <v>31</v>
      </c>
    </row>
    <row r="30" spans="1:4" x14ac:dyDescent="0.25">
      <c r="A30" s="1" t="s">
        <v>14</v>
      </c>
      <c r="B30">
        <v>1</v>
      </c>
      <c r="D30" t="s">
        <v>38</v>
      </c>
    </row>
    <row r="32" spans="1:4" x14ac:dyDescent="0.25">
      <c r="A32" t="s">
        <v>32</v>
      </c>
      <c r="B32">
        <f>B15*B18*B19*B28*B29*B30</f>
        <v>201.45292973776768</v>
      </c>
      <c r="C32" t="s">
        <v>9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DA4E8-A356-4EC2-A7C2-07A5B68B5CE5}">
  <sheetPr codeName="Sheet1">
    <pageSetUpPr fitToPage="1"/>
  </sheetPr>
  <dimension ref="A1:G87"/>
  <sheetViews>
    <sheetView tabSelected="1" topLeftCell="A46" zoomScaleNormal="100" workbookViewId="0">
      <selection activeCell="C61" sqref="C61"/>
    </sheetView>
  </sheetViews>
  <sheetFormatPr defaultRowHeight="15" x14ac:dyDescent="0.25"/>
  <cols>
    <col min="1" max="1" width="27.7109375" customWidth="1"/>
    <col min="2" max="2" width="13.85546875" customWidth="1"/>
    <col min="3" max="3" width="23.85546875" customWidth="1"/>
    <col min="4" max="4" width="37" customWidth="1"/>
  </cols>
  <sheetData>
    <row r="1" spans="1:7" ht="26.25" x14ac:dyDescent="0.4">
      <c r="A1" s="37" t="s">
        <v>151</v>
      </c>
    </row>
    <row r="2" spans="1:7" ht="18.75" x14ac:dyDescent="0.3">
      <c r="A2" s="10" t="s">
        <v>153</v>
      </c>
    </row>
    <row r="4" spans="1:7" x14ac:dyDescent="0.25">
      <c r="A4" t="s">
        <v>145</v>
      </c>
      <c r="B4" s="19">
        <v>280</v>
      </c>
      <c r="C4" t="s">
        <v>40</v>
      </c>
      <c r="D4" t="s">
        <v>154</v>
      </c>
    </row>
    <row r="5" spans="1:7" x14ac:dyDescent="0.25">
      <c r="A5" t="s">
        <v>42</v>
      </c>
      <c r="B5" s="19">
        <v>25</v>
      </c>
      <c r="C5" t="s">
        <v>9</v>
      </c>
      <c r="D5" t="s">
        <v>43</v>
      </c>
    </row>
    <row r="6" spans="1:7" x14ac:dyDescent="0.25">
      <c r="A6" t="s">
        <v>147</v>
      </c>
      <c r="B6" s="19">
        <v>3</v>
      </c>
      <c r="C6" t="s">
        <v>148</v>
      </c>
      <c r="D6" t="s">
        <v>155</v>
      </c>
    </row>
    <row r="7" spans="1:7" x14ac:dyDescent="0.25">
      <c r="A7" t="s">
        <v>149</v>
      </c>
      <c r="B7" s="36">
        <f>B6*PI()*B5^2/4</f>
        <v>1472.6215563702156</v>
      </c>
      <c r="C7" t="s">
        <v>30</v>
      </c>
    </row>
    <row r="8" spans="1:7" x14ac:dyDescent="0.25">
      <c r="A8" t="s">
        <v>44</v>
      </c>
      <c r="B8" s="19">
        <v>12</v>
      </c>
      <c r="C8" t="s">
        <v>9</v>
      </c>
      <c r="D8" t="s">
        <v>45</v>
      </c>
    </row>
    <row r="9" spans="1:7" x14ac:dyDescent="0.25">
      <c r="A9" t="s">
        <v>46</v>
      </c>
      <c r="B9" s="19" t="s">
        <v>57</v>
      </c>
    </row>
    <row r="10" spans="1:7" x14ac:dyDescent="0.25">
      <c r="A10" t="s">
        <v>48</v>
      </c>
      <c r="B10" s="19" t="s">
        <v>49</v>
      </c>
    </row>
    <row r="11" spans="1:7" x14ac:dyDescent="0.25">
      <c r="A11" s="17" t="s">
        <v>6</v>
      </c>
      <c r="B11" s="19">
        <v>1.85</v>
      </c>
    </row>
    <row r="12" spans="1:7" x14ac:dyDescent="0.25">
      <c r="A12" s="17" t="s">
        <v>81</v>
      </c>
      <c r="B12" s="19">
        <v>1.25</v>
      </c>
    </row>
    <row r="14" spans="1:7" x14ac:dyDescent="0.25">
      <c r="E14" t="s">
        <v>111</v>
      </c>
    </row>
    <row r="15" spans="1:7" x14ac:dyDescent="0.25">
      <c r="A15" s="9" t="s">
        <v>50</v>
      </c>
    </row>
    <row r="16" spans="1:7" ht="15" customHeight="1" x14ac:dyDescent="0.25">
      <c r="G16" s="9" t="s">
        <v>110</v>
      </c>
    </row>
    <row r="17" spans="1:7" ht="45" x14ac:dyDescent="0.25">
      <c r="A17" s="29" t="s">
        <v>51</v>
      </c>
      <c r="B17" s="30">
        <v>1</v>
      </c>
      <c r="C17" s="11" t="s">
        <v>52</v>
      </c>
    </row>
    <row r="18" spans="1:7" x14ac:dyDescent="0.25">
      <c r="A18" s="1" t="s">
        <v>2</v>
      </c>
      <c r="B18" s="18">
        <f>IF(B5&lt;=32,1,(132-B5)/100)</f>
        <v>1</v>
      </c>
    </row>
    <row r="19" spans="1:7" x14ac:dyDescent="0.25">
      <c r="A19" s="1" t="s">
        <v>3</v>
      </c>
      <c r="B19" s="38">
        <f>HLOOKUP(B9,betong_materialdata,6,FALSE)</f>
        <v>2</v>
      </c>
      <c r="C19" t="s">
        <v>5</v>
      </c>
    </row>
    <row r="20" spans="1:7" x14ac:dyDescent="0.25">
      <c r="A20" s="1" t="s">
        <v>4</v>
      </c>
      <c r="B20" s="8">
        <f>0.85*B19/B11</f>
        <v>0.91891891891891886</v>
      </c>
      <c r="C20" t="s">
        <v>5</v>
      </c>
    </row>
    <row r="21" spans="1:7" x14ac:dyDescent="0.25">
      <c r="A21" s="1" t="s">
        <v>0</v>
      </c>
      <c r="B21" s="8">
        <f>2.25*B17*B18*B20</f>
        <v>2.0675675675675675</v>
      </c>
      <c r="C21" t="s">
        <v>5</v>
      </c>
    </row>
    <row r="24" spans="1:7" x14ac:dyDescent="0.25">
      <c r="A24" s="9" t="s">
        <v>82</v>
      </c>
      <c r="G24" s="9" t="s">
        <v>7</v>
      </c>
    </row>
    <row r="25" spans="1:7" x14ac:dyDescent="0.25">
      <c r="A25" t="s">
        <v>83</v>
      </c>
      <c r="B25" s="6">
        <f>HLOOKUP(B10,armering_materialdata,2,FALSE)</f>
        <v>500</v>
      </c>
      <c r="C25" t="s">
        <v>5</v>
      </c>
    </row>
    <row r="26" spans="1:7" x14ac:dyDescent="0.25">
      <c r="A26" s="17" t="s">
        <v>90</v>
      </c>
      <c r="B26" s="8">
        <f>B25/B12</f>
        <v>400</v>
      </c>
      <c r="C26" t="s">
        <v>5</v>
      </c>
    </row>
    <row r="27" spans="1:7" x14ac:dyDescent="0.25">
      <c r="A27" t="s">
        <v>88</v>
      </c>
      <c r="B27" s="35">
        <f>B4/B6/(PI()*B5^2/4)*1000</f>
        <v>190.13710534711763</v>
      </c>
      <c r="C27" t="s">
        <v>80</v>
      </c>
      <c r="D27" t="s">
        <v>89</v>
      </c>
    </row>
    <row r="29" spans="1:7" x14ac:dyDescent="0.25">
      <c r="A29" t="s">
        <v>87</v>
      </c>
      <c r="B29" s="18">
        <f>IF(B27="",B26,B27)</f>
        <v>190.13710534711763</v>
      </c>
      <c r="C29" t="s">
        <v>5</v>
      </c>
    </row>
    <row r="31" spans="1:7" x14ac:dyDescent="0.25">
      <c r="A31" t="s">
        <v>7</v>
      </c>
      <c r="B31" s="20">
        <f>(B5/4)*(B29/B21)</f>
        <v>574.76085766694052</v>
      </c>
      <c r="C31" t="s">
        <v>9</v>
      </c>
    </row>
    <row r="33" spans="1:7" x14ac:dyDescent="0.25">
      <c r="A33" s="9" t="s">
        <v>91</v>
      </c>
    </row>
    <row r="34" spans="1:7" x14ac:dyDescent="0.25">
      <c r="G34" s="9" t="s">
        <v>113</v>
      </c>
    </row>
    <row r="35" spans="1:7" x14ac:dyDescent="0.25">
      <c r="A35" t="s">
        <v>92</v>
      </c>
      <c r="B35" s="5" t="s">
        <v>93</v>
      </c>
      <c r="C35" t="s">
        <v>98</v>
      </c>
    </row>
    <row r="36" spans="1:7" x14ac:dyDescent="0.25">
      <c r="A36" t="s">
        <v>95</v>
      </c>
      <c r="B36" s="5" t="s">
        <v>96</v>
      </c>
      <c r="C36" t="s">
        <v>99</v>
      </c>
    </row>
    <row r="37" spans="1:7" x14ac:dyDescent="0.25">
      <c r="A37" t="s">
        <v>100</v>
      </c>
      <c r="B37" s="5" t="s">
        <v>103</v>
      </c>
    </row>
    <row r="38" spans="1:7" x14ac:dyDescent="0.25">
      <c r="A38" t="s">
        <v>125</v>
      </c>
      <c r="B38" s="5" t="s">
        <v>128</v>
      </c>
    </row>
    <row r="40" spans="1:7" x14ac:dyDescent="0.25">
      <c r="A40" t="s">
        <v>16</v>
      </c>
      <c r="B40" s="5">
        <v>40</v>
      </c>
      <c r="C40" t="s">
        <v>9</v>
      </c>
      <c r="D40" t="s">
        <v>106</v>
      </c>
    </row>
    <row r="41" spans="1:7" x14ac:dyDescent="0.25">
      <c r="A41" t="s">
        <v>17</v>
      </c>
      <c r="B41" s="5">
        <v>50</v>
      </c>
      <c r="C41" t="s">
        <v>9</v>
      </c>
      <c r="D41" t="s">
        <v>107</v>
      </c>
    </row>
    <row r="42" spans="1:7" x14ac:dyDescent="0.25">
      <c r="A42" t="s">
        <v>112</v>
      </c>
      <c r="B42" s="5">
        <v>200</v>
      </c>
      <c r="C42" t="s">
        <v>9</v>
      </c>
      <c r="D42" t="s">
        <v>108</v>
      </c>
    </row>
    <row r="43" spans="1:7" x14ac:dyDescent="0.25">
      <c r="A43" t="s">
        <v>15</v>
      </c>
      <c r="B43" s="6">
        <f>B42-B5</f>
        <v>175</v>
      </c>
      <c r="C43" t="s">
        <v>9</v>
      </c>
      <c r="D43" t="s">
        <v>109</v>
      </c>
    </row>
    <row r="45" spans="1:7" x14ac:dyDescent="0.25">
      <c r="A45" t="s">
        <v>19</v>
      </c>
      <c r="B45" s="24">
        <f>VLOOKUP(B37,stangtype_cd[],2,FALSE)</f>
        <v>40</v>
      </c>
      <c r="C45" t="s">
        <v>9</v>
      </c>
    </row>
    <row r="46" spans="1:7" x14ac:dyDescent="0.25">
      <c r="G46" s="9" t="s">
        <v>25</v>
      </c>
    </row>
    <row r="47" spans="1:7" x14ac:dyDescent="0.25">
      <c r="A47" s="9" t="s">
        <v>114</v>
      </c>
    </row>
    <row r="48" spans="1:7" x14ac:dyDescent="0.25">
      <c r="A48" s="9" t="s">
        <v>25</v>
      </c>
      <c r="B48" s="5">
        <v>0.05</v>
      </c>
    </row>
    <row r="50" spans="1:7" ht="15.75" x14ac:dyDescent="0.25">
      <c r="A50" s="34" t="s">
        <v>24</v>
      </c>
    </row>
    <row r="52" spans="1:7" x14ac:dyDescent="0.25">
      <c r="A52" s="9" t="s">
        <v>119</v>
      </c>
    </row>
    <row r="53" spans="1:7" x14ac:dyDescent="0.25">
      <c r="A53" s="27" t="s">
        <v>132</v>
      </c>
      <c r="B53" s="25">
        <f>IF(B45&gt;3*B5,0.7,1)</f>
        <v>1</v>
      </c>
      <c r="C53" t="s">
        <v>115</v>
      </c>
    </row>
    <row r="54" spans="1:7" x14ac:dyDescent="0.25">
      <c r="A54" s="27"/>
    </row>
    <row r="55" spans="1:7" x14ac:dyDescent="0.25">
      <c r="A55" s="9" t="s">
        <v>120</v>
      </c>
    </row>
    <row r="56" spans="1:7" x14ac:dyDescent="0.25">
      <c r="A56" t="s">
        <v>118</v>
      </c>
      <c r="B56" s="8">
        <f>1-0.15*(B45-B5)/B5</f>
        <v>0.91</v>
      </c>
      <c r="C56" t="s">
        <v>121</v>
      </c>
    </row>
    <row r="57" spans="1:7" x14ac:dyDescent="0.25">
      <c r="A57" s="26" t="s">
        <v>11</v>
      </c>
      <c r="B57" s="25">
        <f>MIN(MAX(B56,0.7),1)</f>
        <v>0.91</v>
      </c>
    </row>
    <row r="58" spans="1:7" x14ac:dyDescent="0.25">
      <c r="G58" s="9" t="s">
        <v>24</v>
      </c>
    </row>
    <row r="59" spans="1:7" x14ac:dyDescent="0.25">
      <c r="G59" s="9"/>
    </row>
    <row r="60" spans="1:7" x14ac:dyDescent="0.25">
      <c r="A60" s="9" t="s">
        <v>122</v>
      </c>
    </row>
    <row r="61" spans="1:7" ht="60" x14ac:dyDescent="0.25">
      <c r="A61" t="s">
        <v>124</v>
      </c>
      <c r="B61" s="33">
        <v>2</v>
      </c>
      <c r="D61" s="11" t="s">
        <v>143</v>
      </c>
    </row>
    <row r="62" spans="1:7" x14ac:dyDescent="0.25">
      <c r="A62" t="s">
        <v>27</v>
      </c>
      <c r="B62" s="8">
        <f>B61*B8^2*PI()/4</f>
        <v>226.1946710584651</v>
      </c>
      <c r="C62" t="s">
        <v>30</v>
      </c>
    </row>
    <row r="63" spans="1:7" x14ac:dyDescent="0.25">
      <c r="A63" t="s">
        <v>26</v>
      </c>
      <c r="B63" s="8">
        <f>IF(B38="bjelke",0.25*PI()*B5^2/4,0)</f>
        <v>122.7184630308513</v>
      </c>
      <c r="C63" t="s">
        <v>30</v>
      </c>
      <c r="D63" t="s">
        <v>129</v>
      </c>
    </row>
    <row r="64" spans="1:7" x14ac:dyDescent="0.25">
      <c r="A64" t="s">
        <v>123</v>
      </c>
      <c r="B64" s="8">
        <f>(B62-B63)/(PI()*B5^2/4)</f>
        <v>0.21079999999999999</v>
      </c>
    </row>
    <row r="65" spans="1:4" x14ac:dyDescent="0.25">
      <c r="A65" t="s">
        <v>130</v>
      </c>
      <c r="B65" s="8">
        <f>MIN(1,MAX(1-B48*B64,0.7))</f>
        <v>0.98946000000000001</v>
      </c>
    </row>
    <row r="66" spans="1:4" x14ac:dyDescent="0.25">
      <c r="A66" s="26" t="s">
        <v>116</v>
      </c>
      <c r="B66" s="25">
        <f>IF(B35="trykk",1,B65)</f>
        <v>0.98946000000000001</v>
      </c>
    </row>
    <row r="68" spans="1:4" x14ac:dyDescent="0.25">
      <c r="A68" s="9" t="s">
        <v>131</v>
      </c>
    </row>
    <row r="69" spans="1:4" x14ac:dyDescent="0.25">
      <c r="A69" s="26" t="s">
        <v>13</v>
      </c>
      <c r="B69" s="7">
        <v>1</v>
      </c>
      <c r="D69" t="s">
        <v>144</v>
      </c>
    </row>
    <row r="71" spans="1:4" x14ac:dyDescent="0.25">
      <c r="A71" s="9" t="s">
        <v>133</v>
      </c>
    </row>
    <row r="72" spans="1:4" x14ac:dyDescent="0.25">
      <c r="A72" t="s">
        <v>134</v>
      </c>
      <c r="B72" s="5">
        <v>0</v>
      </c>
      <c r="C72" t="s">
        <v>5</v>
      </c>
    </row>
    <row r="73" spans="1:4" x14ac:dyDescent="0.25">
      <c r="A73" t="s">
        <v>136</v>
      </c>
      <c r="B73" s="2">
        <f>MIN(1,MAX(1-0.04*B72,0.7))</f>
        <v>1</v>
      </c>
    </row>
    <row r="74" spans="1:4" x14ac:dyDescent="0.25">
      <c r="A74" s="26" t="s">
        <v>117</v>
      </c>
      <c r="B74" s="25">
        <f>IF(B35="trykk",1,B73)</f>
        <v>1</v>
      </c>
      <c r="D74" t="s">
        <v>135</v>
      </c>
    </row>
    <row r="76" spans="1:4" x14ac:dyDescent="0.25">
      <c r="A76" s="9" t="s">
        <v>137</v>
      </c>
    </row>
    <row r="77" spans="1:4" x14ac:dyDescent="0.25">
      <c r="A77" t="s">
        <v>138</v>
      </c>
      <c r="B77" s="28">
        <f>MAX(B57*B66*B74,0.7)</f>
        <v>0.9004086</v>
      </c>
    </row>
    <row r="80" spans="1:4" x14ac:dyDescent="0.25">
      <c r="A80" t="s">
        <v>139</v>
      </c>
    </row>
    <row r="82" spans="1:3" x14ac:dyDescent="0.25">
      <c r="A82" t="s">
        <v>141</v>
      </c>
      <c r="B82" s="32">
        <f>MAX(0.3*B31,10*B5,100)</f>
        <v>250</v>
      </c>
      <c r="C82" t="s">
        <v>9</v>
      </c>
    </row>
    <row r="83" spans="1:3" x14ac:dyDescent="0.25">
      <c r="A83" t="s">
        <v>142</v>
      </c>
      <c r="B83" s="32">
        <f>MAX(0.6*B31,10*B5,100)</f>
        <v>344.8565146001643</v>
      </c>
      <c r="C83" t="s">
        <v>9</v>
      </c>
    </row>
    <row r="85" spans="1:3" x14ac:dyDescent="0.25">
      <c r="A85" s="9" t="s">
        <v>140</v>
      </c>
      <c r="B85" s="20">
        <f>IF(B35="strekk",B82,B83)</f>
        <v>250</v>
      </c>
      <c r="C85" t="s">
        <v>9</v>
      </c>
    </row>
    <row r="87" spans="1:3" ht="18.75" x14ac:dyDescent="0.3">
      <c r="A87" s="10" t="s">
        <v>32</v>
      </c>
      <c r="B87" s="31">
        <f>MAX(B53*B77*B69*B31,B85)</f>
        <v>517.51961918668917</v>
      </c>
      <c r="C87" t="s">
        <v>9</v>
      </c>
    </row>
  </sheetData>
  <dataValidations count="4">
    <dataValidation type="list" allowBlank="1" showInputMessage="1" showErrorMessage="1" sqref="B35" xr:uid="{1F33D6F5-D269-4F19-8528-1A53E0F485C5}">
      <formula1>strekk_trykk</formula1>
    </dataValidation>
    <dataValidation type="list" allowBlank="1" showInputMessage="1" showErrorMessage="1" sqref="B36" xr:uid="{380B13A4-D760-4F32-ABE6-DBD1A9A36736}">
      <formula1>rett_ikkerett</formula1>
    </dataValidation>
    <dataValidation type="list" allowBlank="1" showInputMessage="1" showErrorMessage="1" sqref="B38" xr:uid="{8209FFF3-83E0-47A1-A3DB-D8F79B315A57}">
      <formula1>konstruksjonstype</formula1>
    </dataValidation>
    <dataValidation type="list" allowBlank="1" showInputMessage="1" showErrorMessage="1" sqref="B10" xr:uid="{08BAF3A7-50EE-4C01-92E4-6B5535D03EDF}">
      <formula1>_xlfn.DROP(INDEX(armering_materialdata,1,0),0,1)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Label3">
          <controlPr defaultSize="0" autoLine="0" r:id="rId5">
            <anchor moveWithCells="1">
              <from>
                <xdr:col>4</xdr:col>
                <xdr:colOff>95250</xdr:colOff>
                <xdr:row>34</xdr:row>
                <xdr:rowOff>9525</xdr:rowOff>
              </from>
              <to>
                <xdr:col>5</xdr:col>
                <xdr:colOff>247650</xdr:colOff>
                <xdr:row>36</xdr:row>
                <xdr:rowOff>95250</xdr:rowOff>
              </to>
            </anchor>
          </controlPr>
        </control>
      </mc:Choice>
      <mc:Fallback>
        <control shapeId="2053" r:id="rId4" name="Label3"/>
      </mc:Fallback>
    </mc:AlternateContent>
    <mc:AlternateContent xmlns:mc="http://schemas.openxmlformats.org/markup-compatibility/2006">
      <mc:Choice Requires="x14">
        <control shapeId="2052" r:id="rId6" name="Label2">
          <controlPr defaultSize="0" autoLine="0" r:id="rId7">
            <anchor moveWithCells="1">
              <from>
                <xdr:col>4</xdr:col>
                <xdr:colOff>161925</xdr:colOff>
                <xdr:row>24</xdr:row>
                <xdr:rowOff>0</xdr:rowOff>
              </from>
              <to>
                <xdr:col>5</xdr:col>
                <xdr:colOff>581025</xdr:colOff>
                <xdr:row>26</xdr:row>
                <xdr:rowOff>161925</xdr:rowOff>
              </to>
            </anchor>
          </controlPr>
        </control>
      </mc:Choice>
      <mc:Fallback>
        <control shapeId="2052" r:id="rId6" name="Label2"/>
      </mc:Fallback>
    </mc:AlternateContent>
    <mc:AlternateContent xmlns:mc="http://schemas.openxmlformats.org/markup-compatibility/2006">
      <mc:Choice Requires="x14">
        <control shapeId="2051" r:id="rId8" name="Label1">
          <controlPr defaultSize="0" autoLine="0" r:id="rId9">
            <anchor moveWithCells="1">
              <from>
                <xdr:col>4</xdr:col>
                <xdr:colOff>19050</xdr:colOff>
                <xdr:row>16</xdr:row>
                <xdr:rowOff>123825</xdr:rowOff>
              </from>
              <to>
                <xdr:col>5</xdr:col>
                <xdr:colOff>523875</xdr:colOff>
                <xdr:row>16</xdr:row>
                <xdr:rowOff>523875</xdr:rowOff>
              </to>
            </anchor>
          </controlPr>
        </control>
      </mc:Choice>
      <mc:Fallback>
        <control shapeId="2051" r:id="rId8" name="Label1"/>
      </mc:Fallback>
    </mc:AlternateContent>
    <mc:AlternateContent xmlns:mc="http://schemas.openxmlformats.org/markup-compatibility/2006">
      <mc:Choice Requires="x14">
        <control shapeId="2054" r:id="rId10" name="Label4">
          <controlPr defaultSize="0" autoLine="0" r:id="rId11">
            <anchor moveWithCells="1">
              <from>
                <xdr:col>4</xdr:col>
                <xdr:colOff>190500</xdr:colOff>
                <xdr:row>45</xdr:row>
                <xdr:rowOff>47625</xdr:rowOff>
              </from>
              <to>
                <xdr:col>5</xdr:col>
                <xdr:colOff>447675</xdr:colOff>
                <xdr:row>47</xdr:row>
                <xdr:rowOff>66675</xdr:rowOff>
              </to>
            </anchor>
          </controlPr>
        </control>
      </mc:Choice>
      <mc:Fallback>
        <control shapeId="2054" r:id="rId10" name="Label4"/>
      </mc:Fallback>
    </mc:AlternateContent>
    <mc:AlternateContent xmlns:mc="http://schemas.openxmlformats.org/markup-compatibility/2006">
      <mc:Choice Requires="x14">
        <control shapeId="2059" r:id="rId12" name="Label5">
          <controlPr defaultSize="0" autoLine="0" r:id="rId13">
            <anchor moveWithCells="1">
              <from>
                <xdr:col>4</xdr:col>
                <xdr:colOff>161925</xdr:colOff>
                <xdr:row>57</xdr:row>
                <xdr:rowOff>0</xdr:rowOff>
              </from>
              <to>
                <xdr:col>5</xdr:col>
                <xdr:colOff>438150</xdr:colOff>
                <xdr:row>59</xdr:row>
                <xdr:rowOff>85725</xdr:rowOff>
              </to>
            </anchor>
          </controlPr>
        </control>
      </mc:Choice>
      <mc:Fallback>
        <control shapeId="2059" r:id="rId12" name="Label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3989AB-9E30-4127-AD01-A910789880EC}">
          <x14:formula1>
            <xm:f>Rullgardinlister!$A$12:$A$14</xm:f>
          </x14:formula1>
          <xm:sqref>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7E41A-52D4-4E32-BD05-5BCD15893FEF}">
  <sheetPr codeName="Sheet3"/>
  <dimension ref="A1:O21"/>
  <sheetViews>
    <sheetView workbookViewId="0">
      <selection activeCell="G26" sqref="G26"/>
    </sheetView>
  </sheetViews>
  <sheetFormatPr defaultRowHeight="15" x14ac:dyDescent="0.25"/>
  <cols>
    <col min="1" max="1" width="12.42578125" customWidth="1"/>
    <col min="2" max="2" width="9.85546875" customWidth="1"/>
  </cols>
  <sheetData>
    <row r="1" spans="1:15" x14ac:dyDescent="0.25">
      <c r="A1" s="12" t="s">
        <v>86</v>
      </c>
      <c r="B1" s="13" t="s">
        <v>53</v>
      </c>
      <c r="C1" s="13" t="s">
        <v>54</v>
      </c>
      <c r="D1" s="13" t="s">
        <v>55</v>
      </c>
      <c r="E1" s="13" t="s">
        <v>56</v>
      </c>
      <c r="F1" s="13" t="s">
        <v>57</v>
      </c>
      <c r="G1" s="13" t="s">
        <v>47</v>
      </c>
      <c r="H1" s="13" t="s">
        <v>58</v>
      </c>
      <c r="I1" s="13" t="s">
        <v>59</v>
      </c>
      <c r="J1" s="13" t="s">
        <v>60</v>
      </c>
      <c r="K1" s="13" t="s">
        <v>61</v>
      </c>
      <c r="L1" s="13" t="s">
        <v>62</v>
      </c>
      <c r="M1" s="13" t="s">
        <v>63</v>
      </c>
      <c r="N1" s="13" t="s">
        <v>64</v>
      </c>
      <c r="O1" s="13" t="s">
        <v>65</v>
      </c>
    </row>
    <row r="2" spans="1:15" x14ac:dyDescent="0.25">
      <c r="A2" s="12" t="s">
        <v>66</v>
      </c>
      <c r="B2" s="14">
        <v>15</v>
      </c>
      <c r="C2" s="14">
        <v>20</v>
      </c>
      <c r="D2" s="14">
        <v>25</v>
      </c>
      <c r="E2" s="14">
        <v>30</v>
      </c>
      <c r="F2" s="14">
        <v>37</v>
      </c>
      <c r="G2" s="14">
        <v>45</v>
      </c>
      <c r="H2" s="14">
        <v>50</v>
      </c>
      <c r="I2" s="14">
        <v>55</v>
      </c>
      <c r="J2" s="14">
        <v>60</v>
      </c>
      <c r="K2" s="14">
        <v>67</v>
      </c>
      <c r="L2" s="14">
        <v>75</v>
      </c>
      <c r="M2" s="14">
        <v>85</v>
      </c>
      <c r="N2" s="14">
        <v>95</v>
      </c>
      <c r="O2" s="14">
        <v>105</v>
      </c>
    </row>
    <row r="3" spans="1:15" x14ac:dyDescent="0.25">
      <c r="A3" s="12" t="s">
        <v>67</v>
      </c>
      <c r="B3" s="14">
        <v>12</v>
      </c>
      <c r="C3" s="14">
        <v>16</v>
      </c>
      <c r="D3" s="14">
        <v>20</v>
      </c>
      <c r="E3" s="14">
        <v>25</v>
      </c>
      <c r="F3" s="14">
        <v>30</v>
      </c>
      <c r="G3" s="14">
        <v>35</v>
      </c>
      <c r="H3" s="14">
        <v>40</v>
      </c>
      <c r="I3" s="14">
        <v>45</v>
      </c>
      <c r="J3" s="14">
        <v>50</v>
      </c>
      <c r="K3" s="14">
        <v>55</v>
      </c>
      <c r="L3" s="14">
        <v>60</v>
      </c>
      <c r="M3" s="14">
        <v>70</v>
      </c>
      <c r="N3" s="14">
        <v>80</v>
      </c>
      <c r="O3" s="14">
        <v>90</v>
      </c>
    </row>
    <row r="4" spans="1:15" x14ac:dyDescent="0.25">
      <c r="A4" s="12" t="s">
        <v>68</v>
      </c>
      <c r="B4" s="14">
        <f>B3+8</f>
        <v>20</v>
      </c>
      <c r="C4" s="14">
        <f>C3+8</f>
        <v>24</v>
      </c>
      <c r="D4" s="14">
        <f t="shared" ref="D4:O4" si="0">D3+8</f>
        <v>28</v>
      </c>
      <c r="E4" s="14">
        <f t="shared" si="0"/>
        <v>33</v>
      </c>
      <c r="F4" s="14">
        <f t="shared" si="0"/>
        <v>38</v>
      </c>
      <c r="G4" s="14">
        <f t="shared" si="0"/>
        <v>43</v>
      </c>
      <c r="H4" s="14">
        <f>H3+8</f>
        <v>48</v>
      </c>
      <c r="I4" s="14">
        <f t="shared" si="0"/>
        <v>53</v>
      </c>
      <c r="J4" s="14">
        <f>J3+8</f>
        <v>58</v>
      </c>
      <c r="K4" s="14">
        <f t="shared" si="0"/>
        <v>63</v>
      </c>
      <c r="L4" s="14">
        <f t="shared" si="0"/>
        <v>68</v>
      </c>
      <c r="M4" s="14">
        <f t="shared" si="0"/>
        <v>78</v>
      </c>
      <c r="N4" s="14">
        <f t="shared" si="0"/>
        <v>88</v>
      </c>
      <c r="O4" s="14">
        <f t="shared" si="0"/>
        <v>98</v>
      </c>
    </row>
    <row r="5" spans="1:15" x14ac:dyDescent="0.25">
      <c r="A5" s="12" t="s">
        <v>69</v>
      </c>
      <c r="B5" s="15">
        <v>1.6</v>
      </c>
      <c r="C5" s="15">
        <v>1.9</v>
      </c>
      <c r="D5" s="15">
        <v>2.2000000000000002</v>
      </c>
      <c r="E5" s="15">
        <v>2.6</v>
      </c>
      <c r="F5" s="15">
        <v>2.9</v>
      </c>
      <c r="G5" s="15">
        <v>3.2</v>
      </c>
      <c r="H5" s="15">
        <v>3.5</v>
      </c>
      <c r="I5" s="15">
        <v>3.8</v>
      </c>
      <c r="J5" s="15">
        <v>4.0999999999999996</v>
      </c>
      <c r="K5" s="15">
        <v>4.2</v>
      </c>
      <c r="L5" s="15">
        <v>4.4000000000000004</v>
      </c>
      <c r="M5" s="15">
        <v>4.5999999999999996</v>
      </c>
      <c r="N5" s="15">
        <v>4.8</v>
      </c>
      <c r="O5" s="15">
        <v>5</v>
      </c>
    </row>
    <row r="6" spans="1:15" x14ac:dyDescent="0.25">
      <c r="A6" s="12" t="s">
        <v>70</v>
      </c>
      <c r="B6" s="14">
        <v>1.1000000000000001</v>
      </c>
      <c r="C6" s="14">
        <v>1.3</v>
      </c>
      <c r="D6" s="14">
        <v>1.5</v>
      </c>
      <c r="E6" s="14">
        <v>1.8</v>
      </c>
      <c r="F6" s="14">
        <v>2</v>
      </c>
      <c r="G6" s="14">
        <v>2.2000000000000002</v>
      </c>
      <c r="H6" s="14">
        <v>2.5</v>
      </c>
      <c r="I6" s="14">
        <v>2.7</v>
      </c>
      <c r="J6" s="14">
        <v>2.9</v>
      </c>
      <c r="K6" s="14">
        <v>3</v>
      </c>
      <c r="L6" s="14">
        <v>3.1</v>
      </c>
      <c r="M6" s="14">
        <v>3.2</v>
      </c>
      <c r="N6" s="14">
        <v>3.4</v>
      </c>
      <c r="O6" s="14">
        <v>3.5</v>
      </c>
    </row>
    <row r="7" spans="1:15" x14ac:dyDescent="0.25">
      <c r="A7" s="12" t="s">
        <v>71</v>
      </c>
      <c r="B7" s="16">
        <v>2</v>
      </c>
      <c r="C7" s="16">
        <v>2.5</v>
      </c>
      <c r="D7" s="16">
        <v>2.9</v>
      </c>
      <c r="E7" s="16">
        <v>3.3</v>
      </c>
      <c r="F7" s="16">
        <v>3.8</v>
      </c>
      <c r="G7" s="16">
        <v>4.2</v>
      </c>
      <c r="H7" s="16">
        <v>4.5999999999999996</v>
      </c>
      <c r="I7" s="16">
        <v>4.9000000000000004</v>
      </c>
      <c r="J7" s="16">
        <v>5.3</v>
      </c>
      <c r="K7" s="16">
        <v>5.5</v>
      </c>
      <c r="L7" s="16">
        <v>5.7</v>
      </c>
      <c r="M7" s="16">
        <v>6</v>
      </c>
      <c r="N7" s="16">
        <v>6.3</v>
      </c>
      <c r="O7" s="16">
        <v>6.6</v>
      </c>
    </row>
    <row r="8" spans="1:15" x14ac:dyDescent="0.25">
      <c r="A8" s="12" t="s">
        <v>72</v>
      </c>
      <c r="B8" s="14">
        <v>27000</v>
      </c>
      <c r="C8" s="14">
        <v>29000</v>
      </c>
      <c r="D8" s="14">
        <v>30000</v>
      </c>
      <c r="E8" s="14">
        <v>31000</v>
      </c>
      <c r="F8" s="14">
        <v>33000</v>
      </c>
      <c r="G8" s="14">
        <v>34000</v>
      </c>
      <c r="H8" s="14">
        <v>35000</v>
      </c>
      <c r="I8" s="14">
        <v>36000</v>
      </c>
      <c r="J8" s="14">
        <v>37000</v>
      </c>
      <c r="K8" s="14">
        <v>38000</v>
      </c>
      <c r="L8" s="14">
        <v>39000</v>
      </c>
      <c r="M8" s="14">
        <v>41000</v>
      </c>
      <c r="N8" s="14">
        <v>42000</v>
      </c>
      <c r="O8" s="14">
        <v>44000</v>
      </c>
    </row>
    <row r="9" spans="1:15" x14ac:dyDescent="0.25">
      <c r="A9" s="12" t="s">
        <v>73</v>
      </c>
      <c r="B9" s="14">
        <v>1.8</v>
      </c>
      <c r="C9" s="14">
        <v>1.9</v>
      </c>
      <c r="D9" s="14">
        <v>2</v>
      </c>
      <c r="E9" s="14">
        <v>2.1</v>
      </c>
      <c r="F9" s="14">
        <v>2.2000000000000002</v>
      </c>
      <c r="G9" s="14">
        <v>2.25</v>
      </c>
      <c r="H9" s="14">
        <v>2.2999999999999998</v>
      </c>
      <c r="I9" s="14">
        <v>2.4</v>
      </c>
      <c r="J9" s="14">
        <v>2.4500000000000002</v>
      </c>
      <c r="K9" s="14">
        <v>2.5</v>
      </c>
      <c r="L9" s="14">
        <v>2.6</v>
      </c>
      <c r="M9" s="14">
        <v>2.7</v>
      </c>
      <c r="N9" s="14">
        <v>2.8</v>
      </c>
      <c r="O9" s="14">
        <v>2.8</v>
      </c>
    </row>
    <row r="10" spans="1:15" x14ac:dyDescent="0.25">
      <c r="A10" s="12" t="s">
        <v>74</v>
      </c>
      <c r="B10" s="14">
        <v>3.5</v>
      </c>
      <c r="C10" s="14">
        <v>3.5</v>
      </c>
      <c r="D10" s="14">
        <v>3.5</v>
      </c>
      <c r="E10" s="14">
        <v>3.5</v>
      </c>
      <c r="F10" s="14">
        <v>3.5</v>
      </c>
      <c r="G10" s="14">
        <v>3.5</v>
      </c>
      <c r="H10" s="14">
        <v>3.5</v>
      </c>
      <c r="I10" s="14">
        <v>3.5</v>
      </c>
      <c r="J10" s="14">
        <v>3.5</v>
      </c>
      <c r="K10" s="14">
        <v>3.2</v>
      </c>
      <c r="L10" s="14">
        <v>3</v>
      </c>
      <c r="M10" s="14">
        <v>2.8</v>
      </c>
      <c r="N10" s="14">
        <v>2.8</v>
      </c>
      <c r="O10" s="14">
        <v>2.8</v>
      </c>
    </row>
    <row r="11" spans="1:15" x14ac:dyDescent="0.25">
      <c r="A11" s="12" t="s">
        <v>75</v>
      </c>
      <c r="B11" s="14">
        <v>2</v>
      </c>
      <c r="C11" s="14">
        <v>2</v>
      </c>
      <c r="D11" s="14">
        <v>2</v>
      </c>
      <c r="E11" s="14">
        <v>2</v>
      </c>
      <c r="F11" s="14">
        <v>2</v>
      </c>
      <c r="G11" s="14">
        <v>2</v>
      </c>
      <c r="H11" s="14">
        <v>2</v>
      </c>
      <c r="I11" s="14">
        <v>2</v>
      </c>
      <c r="J11" s="14">
        <v>2</v>
      </c>
      <c r="K11" s="14">
        <v>2.2000000000000002</v>
      </c>
      <c r="L11" s="14">
        <v>2.2999999999999998</v>
      </c>
      <c r="M11" s="14">
        <v>2.4</v>
      </c>
      <c r="N11" s="14">
        <v>2.5</v>
      </c>
      <c r="O11" s="14">
        <v>2.6</v>
      </c>
    </row>
    <row r="12" spans="1:15" x14ac:dyDescent="0.25">
      <c r="A12" s="12" t="s">
        <v>76</v>
      </c>
      <c r="B12" s="14">
        <v>3.5</v>
      </c>
      <c r="C12" s="14">
        <v>3.5</v>
      </c>
      <c r="D12" s="14">
        <v>3.5</v>
      </c>
      <c r="E12" s="14">
        <v>3.5</v>
      </c>
      <c r="F12" s="14">
        <v>3.5</v>
      </c>
      <c r="G12" s="14">
        <v>3.5</v>
      </c>
      <c r="H12" s="14">
        <v>3.5</v>
      </c>
      <c r="I12" s="14">
        <v>3.5</v>
      </c>
      <c r="J12" s="14">
        <v>3.5</v>
      </c>
      <c r="K12" s="14">
        <v>3.1</v>
      </c>
      <c r="L12" s="14">
        <v>2.9</v>
      </c>
      <c r="M12" s="14">
        <v>2.7</v>
      </c>
      <c r="N12" s="14">
        <v>2.6</v>
      </c>
      <c r="O12" s="14">
        <v>2.6</v>
      </c>
    </row>
    <row r="13" spans="1:15" x14ac:dyDescent="0.25">
      <c r="A13" s="12" t="s">
        <v>77</v>
      </c>
      <c r="B13" s="14">
        <v>2</v>
      </c>
      <c r="C13" s="14">
        <v>2</v>
      </c>
      <c r="D13" s="14">
        <v>2</v>
      </c>
      <c r="E13" s="14">
        <v>2</v>
      </c>
      <c r="F13" s="14">
        <v>2</v>
      </c>
      <c r="G13" s="14">
        <v>2</v>
      </c>
      <c r="H13" s="14">
        <v>2</v>
      </c>
      <c r="I13" s="14">
        <v>2</v>
      </c>
      <c r="J13" s="14">
        <v>2</v>
      </c>
      <c r="K13" s="14">
        <v>1.75</v>
      </c>
      <c r="L13" s="14">
        <v>1.6</v>
      </c>
      <c r="M13" s="14">
        <v>1.45</v>
      </c>
      <c r="N13" s="14">
        <v>1.4</v>
      </c>
      <c r="O13" s="14">
        <v>1.4</v>
      </c>
    </row>
    <row r="14" spans="1:15" x14ac:dyDescent="0.25">
      <c r="A14" s="12" t="s">
        <v>78</v>
      </c>
      <c r="B14" s="14">
        <v>1.75</v>
      </c>
      <c r="C14" s="14">
        <v>1.75</v>
      </c>
      <c r="D14" s="14">
        <v>1.75</v>
      </c>
      <c r="E14" s="14">
        <v>1.75</v>
      </c>
      <c r="F14" s="14">
        <v>1.75</v>
      </c>
      <c r="G14" s="14">
        <v>1.75</v>
      </c>
      <c r="H14" s="14">
        <v>1.75</v>
      </c>
      <c r="I14" s="14">
        <v>1.75</v>
      </c>
      <c r="J14" s="14">
        <v>1.75</v>
      </c>
      <c r="K14" s="14">
        <v>1.8</v>
      </c>
      <c r="L14" s="14">
        <v>1.9</v>
      </c>
      <c r="M14" s="14">
        <v>2</v>
      </c>
      <c r="N14" s="14">
        <v>2.2000000000000002</v>
      </c>
      <c r="O14" s="14">
        <v>2.2999999999999998</v>
      </c>
    </row>
    <row r="15" spans="1:15" x14ac:dyDescent="0.25">
      <c r="A15" s="12" t="s">
        <v>79</v>
      </c>
      <c r="B15" s="14">
        <v>3.5</v>
      </c>
      <c r="C15" s="14">
        <v>3.5</v>
      </c>
      <c r="D15" s="14">
        <v>3.5</v>
      </c>
      <c r="E15" s="14">
        <v>3.5</v>
      </c>
      <c r="F15" s="14">
        <v>3.5</v>
      </c>
      <c r="G15" s="14">
        <v>3.5</v>
      </c>
      <c r="H15" s="14">
        <v>3.5</v>
      </c>
      <c r="I15" s="14">
        <v>3.5</v>
      </c>
      <c r="J15" s="14">
        <v>3.5</v>
      </c>
      <c r="K15" s="14">
        <v>3.1</v>
      </c>
      <c r="L15" s="14">
        <v>2.9</v>
      </c>
      <c r="M15" s="14">
        <v>2.7</v>
      </c>
      <c r="N15" s="14">
        <v>2.6</v>
      </c>
      <c r="O15" s="14">
        <v>2.6</v>
      </c>
    </row>
    <row r="18" spans="1:10" x14ac:dyDescent="0.25">
      <c r="A18" t="s">
        <v>86</v>
      </c>
      <c r="B18" t="s">
        <v>49</v>
      </c>
      <c r="C18" t="s">
        <v>146</v>
      </c>
      <c r="D18" t="s">
        <v>150</v>
      </c>
      <c r="E18" t="s">
        <v>152</v>
      </c>
      <c r="G18" t="str" cm="1">
        <f t="array" ref="G18:J18">_xlfn.DROP(INDEX(armering_materialdata,1,0),0,1)</f>
        <v>B500NC</v>
      </c>
      <c r="H18" t="str">
        <v>K8.8</v>
      </c>
      <c r="I18" t="str">
        <v>Ks50</v>
      </c>
      <c r="J18" t="str">
        <v>K10.9</v>
      </c>
    </row>
    <row r="19" spans="1:10" x14ac:dyDescent="0.25">
      <c r="A19" t="s">
        <v>83</v>
      </c>
      <c r="B19">
        <v>500</v>
      </c>
      <c r="C19">
        <v>640</v>
      </c>
      <c r="D19">
        <v>500</v>
      </c>
      <c r="E19">
        <v>900</v>
      </c>
    </row>
    <row r="20" spans="1:10" x14ac:dyDescent="0.25">
      <c r="A20" t="s">
        <v>84</v>
      </c>
      <c r="C20">
        <v>800</v>
      </c>
    </row>
    <row r="21" spans="1:10" x14ac:dyDescent="0.25">
      <c r="A21" t="s">
        <v>85</v>
      </c>
      <c r="B21">
        <v>200000</v>
      </c>
      <c r="C21">
        <v>200000</v>
      </c>
      <c r="D21">
        <v>200000</v>
      </c>
      <c r="E21">
        <v>200000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991A0-B272-4471-BCCB-D8C17E6FFD90}">
  <sheetPr codeName="Sheet4"/>
  <dimension ref="A1:B20"/>
  <sheetViews>
    <sheetView workbookViewId="0">
      <selection activeCell="B12" sqref="B12"/>
    </sheetView>
  </sheetViews>
  <sheetFormatPr defaultRowHeight="15" x14ac:dyDescent="0.25"/>
  <cols>
    <col min="1" max="1" width="23.28515625" bestFit="1" customWidth="1"/>
  </cols>
  <sheetData>
    <row r="1" spans="1:2" x14ac:dyDescent="0.25">
      <c r="A1" s="9" t="s">
        <v>101</v>
      </c>
    </row>
    <row r="2" spans="1:2" x14ac:dyDescent="0.25">
      <c r="A2" s="21" t="s">
        <v>93</v>
      </c>
    </row>
    <row r="3" spans="1:2" x14ac:dyDescent="0.25">
      <c r="A3" s="22" t="s">
        <v>94</v>
      </c>
    </row>
    <row r="6" spans="1:2" x14ac:dyDescent="0.25">
      <c r="A6" s="9" t="s">
        <v>102</v>
      </c>
    </row>
    <row r="7" spans="1:2" x14ac:dyDescent="0.25">
      <c r="A7" s="21" t="s">
        <v>96</v>
      </c>
    </row>
    <row r="8" spans="1:2" x14ac:dyDescent="0.25">
      <c r="A8" s="22" t="s">
        <v>97</v>
      </c>
    </row>
    <row r="11" spans="1:2" x14ac:dyDescent="0.25">
      <c r="A11" s="9" t="s">
        <v>100</v>
      </c>
      <c r="B11" t="s">
        <v>19</v>
      </c>
    </row>
    <row r="12" spans="1:2" x14ac:dyDescent="0.25">
      <c r="A12" s="21" t="s">
        <v>103</v>
      </c>
      <c r="B12">
        <f>MIN(Forankringslengde!B43/2,Forankringslengde!B41,Forankringslengde!B40)</f>
        <v>40</v>
      </c>
    </row>
    <row r="13" spans="1:2" x14ac:dyDescent="0.25">
      <c r="A13" s="23" t="s">
        <v>104</v>
      </c>
      <c r="B13">
        <f>MIN(Forankringslengde!B43/2,Forankringslengde!B41)</f>
        <v>50</v>
      </c>
    </row>
    <row r="14" spans="1:2" x14ac:dyDescent="0.25">
      <c r="A14" s="22" t="s">
        <v>105</v>
      </c>
      <c r="B14">
        <f>Forankringslengde!B40</f>
        <v>40</v>
      </c>
    </row>
    <row r="18" spans="1:1" x14ac:dyDescent="0.25">
      <c r="A18" t="s">
        <v>126</v>
      </c>
    </row>
    <row r="19" spans="1:1" x14ac:dyDescent="0.25">
      <c r="A19" t="s">
        <v>127</v>
      </c>
    </row>
    <row r="20" spans="1:1" x14ac:dyDescent="0.25">
      <c r="A20" t="s">
        <v>128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Rett stang i strekk</vt:lpstr>
      <vt:lpstr>Forankringslengde</vt:lpstr>
      <vt:lpstr>Materialdata</vt:lpstr>
      <vt:lpstr>Rullgardinlister</vt:lpstr>
      <vt:lpstr>armering_materialdata</vt:lpstr>
      <vt:lpstr>betong_materialdata</vt:lpstr>
      <vt:lpstr>konstruksjonstype</vt:lpstr>
      <vt:lpstr>Forankringslengde!Print_Area</vt:lpstr>
      <vt:lpstr>rett_ikkerett</vt:lpstr>
      <vt:lpstr>strekk_trykk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Magnus Fjeld Olsen</dc:creator>
  <cp:lastModifiedBy>Magnus Fjeld Olsen</cp:lastModifiedBy>
  <cp:lastPrinted>2025-09-30T09:26:07Z</cp:lastPrinted>
  <dcterms:created xsi:type="dcterms:W3CDTF">2022-10-31T08:08:57Z</dcterms:created>
  <dcterms:modified xsi:type="dcterms:W3CDTF">2025-10-02T12:59:02Z</dcterms:modified>
</cp:coreProperties>
</file>